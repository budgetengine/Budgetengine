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DRE Gerencial" sheetId="2" state="visible" r:id="rId2"/>
    <sheet xmlns:r="http://schemas.openxmlformats.org/officeDocument/2006/relationships" name="Rentabilidade Serviços" sheetId="3" state="visible" r:id="rId3"/>
    <sheet xmlns:r="http://schemas.openxmlformats.org/officeDocument/2006/relationships" name="Ponto de Equilíbrio" sheetId="4" state="visible" r:id="rId4"/>
    <sheet xmlns:r="http://schemas.openxmlformats.org/officeDocument/2006/relationships" name="Taxa Ocupação" sheetId="5" state="visible" r:id="rId5"/>
    <sheet xmlns:r="http://schemas.openxmlformats.org/officeDocument/2006/relationships" name="Premiss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1F4E79"/>
      <sz val="24"/>
    </font>
    <font>
      <name val="Calibri"/>
      <color rgb="00808080"/>
      <sz val="14"/>
    </font>
    <font>
      <name val="Calibri"/>
      <i val="1"/>
      <color rgb="00808080"/>
      <sz val="9"/>
    </font>
    <font>
      <name val="Calibri"/>
      <b val="1"/>
      <color rgb="00FFFFFF"/>
      <sz val="14"/>
    </font>
    <font>
      <name val="Calibri"/>
      <b val="1"/>
      <color rgb="001F4E79"/>
      <sz val="20"/>
    </font>
    <font>
      <name val="Calibri"/>
      <b val="1"/>
      <color rgb="0070AD47"/>
      <sz val="20"/>
    </font>
    <font>
      <name val="Calibri"/>
      <color rgb="00808080"/>
      <sz val="10"/>
    </font>
    <font>
      <name val="Calibri"/>
      <b val="1"/>
      <color rgb="00FFC000"/>
      <sz val="20"/>
    </font>
    <font>
      <name val="Calibri"/>
      <b val="1"/>
      <color rgb="00C00000"/>
      <sz val="20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b val="1"/>
      <color rgb="00C00000"/>
      <sz val="10"/>
    </font>
    <font>
      <name val="Calibri"/>
      <b val="1"/>
      <color rgb="0070AD47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C00000"/>
      <sz val="10"/>
    </font>
    <font>
      <name val="Calibri"/>
      <color rgb="0070AD47"/>
      <sz val="10"/>
    </font>
    <font>
      <name val="Calibri"/>
      <color rgb="00FFC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double">
        <color rgb="001F4E79"/>
      </top>
      <bottom style="double">
        <color rgb="001F4E7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0" fillId="0" borderId="1" pivotButton="0" quotePrefix="0" xfId="0"/>
    <xf numFmtId="0" fontId="5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/>
    </xf>
    <xf numFmtId="0" fontId="11" fillId="0" borderId="0" pivotButton="0" quotePrefix="0" xfId="0"/>
    <xf numFmtId="3" fontId="12" fillId="0" borderId="1" applyAlignment="1" pivotButton="0" quotePrefix="0" xfId="0">
      <alignment horizontal="right" vertical="center"/>
    </xf>
    <xf numFmtId="3" fontId="13" fillId="4" borderId="2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4" fontId="13" fillId="4" borderId="2" applyAlignment="1" pivotButton="0" quotePrefix="0" xfId="0">
      <alignment horizontal="right" vertical="center"/>
    </xf>
    <xf numFmtId="3" fontId="12" fillId="0" borderId="1" applyAlignment="1" pivotButton="0" quotePrefix="0" xfId="0">
      <alignment horizontal="left" vertical="center"/>
    </xf>
    <xf numFmtId="3" fontId="13" fillId="4" borderId="2" applyAlignment="1" pivotButton="0" quotePrefix="0" xfId="0">
      <alignment horizontal="left" vertical="center"/>
    </xf>
    <xf numFmtId="0" fontId="14" fillId="5" borderId="0" pivotButton="0" quotePrefix="0" xfId="0"/>
    <xf numFmtId="164" fontId="0" fillId="0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6" borderId="0" pivotButton="0" quotePrefix="0" xfId="0"/>
    <xf numFmtId="3" fontId="12" fillId="6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right" vertical="center"/>
    </xf>
    <xf numFmtId="0" fontId="17" fillId="7" borderId="0" pivotButton="0" quotePrefix="0" xfId="0"/>
    <xf numFmtId="3" fontId="18" fillId="7" borderId="0" pivotButton="0" quotePrefix="0" xfId="0"/>
    <xf numFmtId="3" fontId="10" fillId="7" borderId="0" pivotButton="0" quotePrefix="0" xfId="0"/>
    <xf numFmtId="0" fontId="11" fillId="0" borderId="1" pivotButton="0" quotePrefix="0" xfId="0"/>
    <xf numFmtId="3" fontId="0" fillId="0" borderId="1" pivotButton="0" quotePrefix="0" xfId="0"/>
    <xf numFmtId="164" fontId="16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19" fillId="0" borderId="1" pivotButton="0" quotePrefix="0" xfId="0"/>
    <xf numFmtId="0" fontId="13" fillId="4" borderId="2" pivotButton="0" quotePrefix="0" xfId="0"/>
    <xf numFmtId="164" fontId="13" fillId="4" borderId="2" pivotButton="0" quotePrefix="0" xfId="0"/>
    <xf numFmtId="0" fontId="16" fillId="0" borderId="0" pivotButton="0" quotePrefix="0" xfId="0"/>
    <xf numFmtId="3" fontId="20" fillId="0" borderId="1" applyAlignment="1" pivotButton="0" quotePrefix="0" xfId="0">
      <alignment horizontal="right" vertical="center"/>
    </xf>
    <xf numFmtId="2" fontId="0" fillId="0" borderId="1" pivotButton="0" quotePrefix="0" xfId="0"/>
    <xf numFmtId="2" fontId="0" fillId="0" borderId="0" pivotButton="0" quotePrefix="0" xfId="0"/>
    <xf numFmtId="3" fontId="0" fillId="0" borderId="0" pivotButton="0" quotePrefix="0" xfId="0"/>
    <xf numFmtId="164" fontId="20" fillId="0" borderId="1" pivotButton="0" quotePrefix="0" xfId="0"/>
    <xf numFmtId="164" fontId="21" fillId="0" borderId="1" pivotButton="0" quotePrefix="0" xfId="0"/>
    <xf numFmtId="164" fontId="15" fillId="0" borderId="1" pivotButton="0" quotePrefix="0" xfId="0"/>
    <xf numFmtId="0" fontId="1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3" customWidth="1" min="15" max="15"/>
  </cols>
  <sheetData>
    <row r="1" ht="20" customHeight="1"/>
    <row r="2" ht="20" customHeight="1">
      <c r="B2" s="1" t="inlineStr">
        <is>
          <t>📊 BUDGET 2026</t>
        </is>
      </c>
    </row>
    <row r="3" ht="20" customHeight="1">
      <c r="B3" s="2" t="inlineStr">
        <is>
          <t>FVS Fisioterapia | Copacabana</t>
        </is>
      </c>
    </row>
    <row r="4" ht="20" customHeight="1">
      <c r="B4" s="3" t="inlineStr">
        <is>
          <t>Gerado em: 22/12/2025 às 04:26</t>
        </is>
      </c>
    </row>
    <row r="5" ht="20" customHeight="1"/>
    <row r="6" ht="20" customHeight="1"/>
    <row r="7" ht="28" customHeight="1">
      <c r="B7" s="4" t="inlineStr">
        <is>
          <t>📈 INDICADORES PRINCIPAIS</t>
        </is>
      </c>
    </row>
    <row r="8" ht="20" customHeight="1"/>
    <row r="9" ht="20" customHeight="1">
      <c r="B9" s="5" t="inlineStr">
        <is>
          <t>R$ 1,475,756</t>
        </is>
      </c>
      <c r="C9" s="6" t="n"/>
      <c r="E9" s="5" t="inlineStr">
        <is>
          <t>R$ 367,847</t>
        </is>
      </c>
      <c r="F9" s="6" t="n"/>
      <c r="H9" s="5" t="inlineStr">
        <is>
          <t>24.9%</t>
        </is>
      </c>
      <c r="I9" s="6" t="n"/>
      <c r="K9" s="7" t="inlineStr">
        <is>
          <t>10,188</t>
        </is>
      </c>
      <c r="L9" s="6" t="n"/>
    </row>
    <row r="10" ht="20" customHeight="1">
      <c r="B10" s="6" t="n"/>
      <c r="C10" s="6" t="n"/>
      <c r="E10" s="6" t="n"/>
      <c r="F10" s="6" t="n"/>
      <c r="H10" s="6" t="n"/>
      <c r="I10" s="6" t="n"/>
      <c r="K10" s="6" t="n"/>
      <c r="L10" s="6" t="n"/>
    </row>
    <row r="11" ht="20" customHeight="1">
      <c r="B11" s="8" t="inlineStr">
        <is>
          <t>Receita Líquida</t>
        </is>
      </c>
      <c r="C11" s="6" t="n"/>
      <c r="E11" s="8" t="inlineStr">
        <is>
          <t>EBITDA</t>
        </is>
      </c>
      <c r="F11" s="6" t="n"/>
      <c r="H11" s="8" t="inlineStr">
        <is>
          <t>Margem EBITDA</t>
        </is>
      </c>
      <c r="I11" s="6" t="n"/>
      <c r="K11" s="8" t="inlineStr">
        <is>
          <t>Sessões/Ano</t>
        </is>
      </c>
      <c r="L11" s="6" t="n"/>
    </row>
    <row r="12" ht="20" customHeight="1"/>
    <row r="13" ht="20" customHeight="1">
      <c r="B13" s="9" t="inlineStr">
        <is>
          <t>R$ 1,088,093</t>
        </is>
      </c>
      <c r="C13" s="6" t="n"/>
      <c r="E13" s="5" t="inlineStr">
        <is>
          <t>26.3%</t>
        </is>
      </c>
      <c r="F13" s="6" t="n"/>
      <c r="H13" s="10" t="inlineStr">
        <is>
          <t>98.0%</t>
        </is>
      </c>
      <c r="I13" s="6" t="n"/>
      <c r="K13" s="7" t="inlineStr">
        <is>
          <t>R$ 36.11</t>
        </is>
      </c>
      <c r="L13" s="6" t="n"/>
    </row>
    <row r="14" ht="20" customHeight="1">
      <c r="B14" s="6" t="n"/>
      <c r="C14" s="6" t="n"/>
      <c r="E14" s="6" t="n"/>
      <c r="F14" s="6" t="n"/>
      <c r="H14" s="6" t="n"/>
      <c r="I14" s="6" t="n"/>
      <c r="K14" s="6" t="n"/>
      <c r="L14" s="6" t="n"/>
    </row>
    <row r="15" ht="20" customHeight="1">
      <c r="B15" s="8" t="inlineStr">
        <is>
          <t>Ponto de Equilíbrio</t>
        </is>
      </c>
      <c r="C15" s="6" t="n"/>
      <c r="E15" s="8" t="inlineStr">
        <is>
          <t>Margem Segurança</t>
        </is>
      </c>
      <c r="F15" s="6" t="n"/>
      <c r="H15" s="8" t="inlineStr">
        <is>
          <t>Taxa Ocupação</t>
        </is>
      </c>
      <c r="I15" s="6" t="n"/>
      <c r="K15" s="8" t="inlineStr">
        <is>
          <t>Lucro/Sessão</t>
        </is>
      </c>
      <c r="L15" s="6" t="n"/>
    </row>
    <row r="16" ht="20" customHeight="1"/>
    <row r="17" ht="20" customHeight="1"/>
    <row r="18" ht="28" customHeight="1">
      <c r="B18" s="4" t="inlineStr">
        <is>
          <t>📅 PROJEÇÃO MENSAL</t>
        </is>
      </c>
    </row>
    <row r="19" ht="20" customHeight="1"/>
    <row r="20" ht="20" customHeight="1">
      <c r="B20" s="11" t="inlineStr">
        <is>
          <t>Indicador</t>
        </is>
      </c>
      <c r="C20" s="11" t="inlineStr">
        <is>
          <t>Jan</t>
        </is>
      </c>
      <c r="D20" s="11" t="inlineStr">
        <is>
          <t>Fev</t>
        </is>
      </c>
      <c r="E20" s="11" t="inlineStr">
        <is>
          <t>Mar</t>
        </is>
      </c>
      <c r="F20" s="11" t="inlineStr">
        <is>
          <t>Abr</t>
        </is>
      </c>
      <c r="G20" s="11" t="inlineStr">
        <is>
          <t>Mai</t>
        </is>
      </c>
      <c r="H20" s="11" t="inlineStr">
        <is>
          <t>Jun</t>
        </is>
      </c>
      <c r="I20" s="11" t="inlineStr">
        <is>
          <t>Jul</t>
        </is>
      </c>
      <c r="J20" s="11" t="inlineStr">
        <is>
          <t>Ago</t>
        </is>
      </c>
      <c r="K20" s="11" t="inlineStr">
        <is>
          <t>Set</t>
        </is>
      </c>
      <c r="L20" s="11" t="inlineStr">
        <is>
          <t>Out</t>
        </is>
      </c>
      <c r="M20" s="11" t="inlineStr">
        <is>
          <t>Nov</t>
        </is>
      </c>
      <c r="N20" s="11" t="inlineStr">
        <is>
          <t>Dez</t>
        </is>
      </c>
      <c r="O20" s="11" t="inlineStr">
        <is>
          <t>TOTAL</t>
        </is>
      </c>
    </row>
    <row r="21" ht="20" customHeight="1">
      <c r="B21" s="12" t="inlineStr">
        <is>
          <t>Receita Líquida</t>
        </is>
      </c>
      <c r="C21" s="13" t="n">
        <v>118333.3890403989</v>
      </c>
      <c r="D21" s="13" t="n">
        <v>117638.3413612721</v>
      </c>
      <c r="E21" s="13" t="n">
        <v>123104.0565746102</v>
      </c>
      <c r="F21" s="13" t="n">
        <v>122945.4077757785</v>
      </c>
      <c r="G21" s="13" t="n">
        <v>123056.9885141614</v>
      </c>
      <c r="H21" s="13" t="n">
        <v>123171.4855588475</v>
      </c>
      <c r="I21" s="13" t="n">
        <v>123459.2326975974</v>
      </c>
      <c r="J21" s="13" t="n">
        <v>123848.2844920938</v>
      </c>
      <c r="K21" s="13" t="n">
        <v>124305.8014995506</v>
      </c>
      <c r="L21" s="13" t="n">
        <v>124810.715637484</v>
      </c>
      <c r="M21" s="13" t="n">
        <v>125353.8743378336</v>
      </c>
      <c r="N21" s="13" t="n">
        <v>125728.1145784787</v>
      </c>
      <c r="O21" s="14" t="n">
        <v>1475755.692068107</v>
      </c>
    </row>
    <row r="22" ht="20" customHeight="1">
      <c r="B22" s="12" t="inlineStr">
        <is>
          <t>EBITDA</t>
        </is>
      </c>
      <c r="C22" s="13" t="n">
        <v>31247.89900456092</v>
      </c>
      <c r="D22" s="13" t="n">
        <v>30208.47813610543</v>
      </c>
      <c r="E22" s="13" t="n">
        <v>32416.20825366619</v>
      </c>
      <c r="F22" s="13" t="n">
        <v>31884.8121374632</v>
      </c>
      <c r="G22" s="13" t="n">
        <v>30812.46183672738</v>
      </c>
      <c r="H22" s="13" t="n">
        <v>30139.43646349886</v>
      </c>
      <c r="I22" s="13" t="n">
        <v>30000.7359535431</v>
      </c>
      <c r="J22" s="13" t="n">
        <v>30017.24415418199</v>
      </c>
      <c r="K22" s="13" t="n">
        <v>30098.94575672869</v>
      </c>
      <c r="L22" s="13" t="n">
        <v>30226.52355652506</v>
      </c>
      <c r="M22" s="13" t="n">
        <v>30396.47576646542</v>
      </c>
      <c r="N22" s="13" t="n">
        <v>30397.44965713058</v>
      </c>
      <c r="O22" s="14" t="n">
        <v>367846.6706765968</v>
      </c>
    </row>
    <row r="23" ht="20" customHeight="1">
      <c r="B23" s="12" t="inlineStr">
        <is>
          <t>Margem EBITDA %</t>
        </is>
      </c>
      <c r="C23" s="15" t="n">
        <v>0.2640666278381744</v>
      </c>
      <c r="D23" s="15" t="n">
        <v>0.2567910919734407</v>
      </c>
      <c r="E23" s="15" t="n">
        <v>0.2633236398186404</v>
      </c>
      <c r="F23" s="15" t="n">
        <v>0.2593412207441947</v>
      </c>
      <c r="G23" s="15" t="n">
        <v>0.2503918079644984</v>
      </c>
      <c r="H23" s="15" t="n">
        <v>0.2446949172265943</v>
      </c>
      <c r="I23" s="15" t="n">
        <v>0.2430011534821967</v>
      </c>
      <c r="J23" s="15" t="n">
        <v>0.2423710936108948</v>
      </c>
      <c r="K23" s="15" t="n">
        <v>0.242136291256185</v>
      </c>
      <c r="L23" s="15" t="n">
        <v>0.2421789139028638</v>
      </c>
      <c r="M23" s="15" t="n">
        <v>0.2424853314429335</v>
      </c>
      <c r="N23" s="15" t="n">
        <v>0.241771299593908</v>
      </c>
      <c r="O23" s="16" t="n">
        <v>0.2492598691326074</v>
      </c>
    </row>
    <row r="24" ht="20" customHeight="1">
      <c r="B24" s="12" t="inlineStr">
        <is>
          <t>Sessões</t>
        </is>
      </c>
      <c r="C24" s="17" t="n">
        <v>822.539465188397</v>
      </c>
      <c r="D24" s="17" t="n">
        <v>827.3482206845802</v>
      </c>
      <c r="E24" s="17" t="n">
        <v>832.1569761807634</v>
      </c>
      <c r="F24" s="17" t="n">
        <v>836.9657316769466</v>
      </c>
      <c r="G24" s="17" t="n">
        <v>841.7744871731297</v>
      </c>
      <c r="H24" s="17" t="n">
        <v>846.583242669313</v>
      </c>
      <c r="I24" s="17" t="n">
        <v>851.3919981654961</v>
      </c>
      <c r="J24" s="17" t="n">
        <v>856.2007536616794</v>
      </c>
      <c r="K24" s="17" t="n">
        <v>861.0095091578626</v>
      </c>
      <c r="L24" s="17" t="n">
        <v>865.8182646540457</v>
      </c>
      <c r="M24" s="17" t="n">
        <v>870.627020150229</v>
      </c>
      <c r="N24" s="17" t="n">
        <v>875.4357756464121</v>
      </c>
      <c r="O24" s="18" t="n">
        <v>10187.85144500886</v>
      </c>
    </row>
    <row r="25" ht="20" customHeight="1"/>
    <row r="26" ht="20" customHeight="1"/>
    <row r="27" ht="20" customHeight="1"/>
    <row r="28" ht="20" customHeight="1"/>
    <row r="29" ht="20" customHeight="1"/>
  </sheetData>
  <mergeCells count="21">
    <mergeCell ref="B13:C14"/>
    <mergeCell ref="K15:L15"/>
    <mergeCell ref="B9:C10"/>
    <mergeCell ref="H13:I14"/>
    <mergeCell ref="K13:L14"/>
    <mergeCell ref="K11:L11"/>
    <mergeCell ref="B11:C11"/>
    <mergeCell ref="B4:N4"/>
    <mergeCell ref="B7:N7"/>
    <mergeCell ref="B3:N3"/>
    <mergeCell ref="K9:L10"/>
    <mergeCell ref="H11:I11"/>
    <mergeCell ref="E15:F15"/>
    <mergeCell ref="E11:F11"/>
    <mergeCell ref="B18:N18"/>
    <mergeCell ref="B2:N2"/>
    <mergeCell ref="E13:F14"/>
    <mergeCell ref="H9:I10"/>
    <mergeCell ref="B15:C15"/>
    <mergeCell ref="H15:I15"/>
    <mergeCell ref="E9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8" customWidth="1" min="16" max="16"/>
  </cols>
  <sheetData>
    <row r="2" ht="28" customHeight="1">
      <c r="B2" s="4" t="inlineStr">
        <is>
          <t>📋 DEMONSTRAÇÃO DO RESULTADO - DRE GERENCIAL</t>
        </is>
      </c>
    </row>
    <row r="4">
      <c r="B4" s="11" t="inlineStr">
        <is>
          <t>CONTA</t>
        </is>
      </c>
      <c r="C4" s="11" t="inlineStr">
        <is>
          <t>Jan</t>
        </is>
      </c>
      <c r="D4" s="11" t="inlineStr">
        <is>
          <t>Fev</t>
        </is>
      </c>
      <c r="E4" s="11" t="inlineStr">
        <is>
          <t>Mar</t>
        </is>
      </c>
      <c r="F4" s="11" t="inlineStr">
        <is>
          <t>Abr</t>
        </is>
      </c>
      <c r="G4" s="11" t="inlineStr">
        <is>
          <t>Mai</t>
        </is>
      </c>
      <c r="H4" s="11" t="inlineStr">
        <is>
          <t>Jun</t>
        </is>
      </c>
      <c r="I4" s="11" t="inlineStr">
        <is>
          <t>Jul</t>
        </is>
      </c>
      <c r="J4" s="11" t="inlineStr">
        <is>
          <t>Ago</t>
        </is>
      </c>
      <c r="K4" s="11" t="inlineStr">
        <is>
          <t>Set</t>
        </is>
      </c>
      <c r="L4" s="11" t="inlineStr">
        <is>
          <t>Out</t>
        </is>
      </c>
      <c r="M4" s="11" t="inlineStr">
        <is>
          <t>Nov</t>
        </is>
      </c>
      <c r="N4" s="11" t="inlineStr">
        <is>
          <t>Dez</t>
        </is>
      </c>
      <c r="O4" s="11" t="inlineStr">
        <is>
          <t>TOTAL</t>
        </is>
      </c>
      <c r="P4" s="11" t="inlineStr">
        <is>
          <t>AV%</t>
        </is>
      </c>
    </row>
    <row r="5">
      <c r="B5" s="19" t="inlineStr">
        <is>
          <t>RECEITA BRUTA</t>
        </is>
      </c>
      <c r="C5" s="13" t="n">
        <v>145881.6473738455</v>
      </c>
      <c r="D5" s="13" t="n">
        <v>146772.0683207157</v>
      </c>
      <c r="E5" s="13" t="n">
        <v>155206.9455168</v>
      </c>
      <c r="F5" s="13" t="n">
        <v>156142.3889668</v>
      </c>
      <c r="G5" s="13" t="n">
        <v>157077.8324168</v>
      </c>
      <c r="H5" s="13" t="n">
        <v>158013.2758668</v>
      </c>
      <c r="I5" s="13" t="n">
        <v>158948.7193168</v>
      </c>
      <c r="J5" s="13" t="n">
        <v>159884.1627668</v>
      </c>
      <c r="K5" s="13" t="n">
        <v>160819.6062168</v>
      </c>
      <c r="L5" s="13" t="n">
        <v>161755.0496668</v>
      </c>
      <c r="M5" s="13" t="n">
        <v>162690.4931168</v>
      </c>
      <c r="N5" s="13" t="n">
        <v>163625.9365668</v>
      </c>
      <c r="O5" s="14" t="n">
        <v>1886818.126112561</v>
      </c>
      <c r="P5" s="20" t="n">
        <v>1</v>
      </c>
    </row>
    <row r="6">
      <c r="B6" s="21" t="inlineStr">
        <is>
          <t xml:space="preserve">  Osteopatia</t>
        </is>
      </c>
      <c r="C6" s="13" t="n">
        <v>6164.407258633282</v>
      </c>
      <c r="D6" s="13" t="n">
        <v>6213.567490236336</v>
      </c>
      <c r="E6" s="13" t="n">
        <v>6515.570766509924</v>
      </c>
      <c r="F6" s="13" t="n">
        <v>6566.715727960305</v>
      </c>
      <c r="G6" s="13" t="n">
        <v>6617.860689410687</v>
      </c>
      <c r="H6" s="13" t="n">
        <v>6669.005650861069</v>
      </c>
      <c r="I6" s="13" t="n">
        <v>6720.15061231145</v>
      </c>
      <c r="J6" s="13" t="n">
        <v>6771.295573761831</v>
      </c>
      <c r="K6" s="13" t="n">
        <v>6822.440535212214</v>
      </c>
      <c r="L6" s="13" t="n">
        <v>6873.585496662596</v>
      </c>
      <c r="M6" s="13" t="n">
        <v>6924.730458112977</v>
      </c>
      <c r="N6" s="13" t="n">
        <v>6975.875419563358</v>
      </c>
      <c r="O6" s="13" t="n">
        <v>79835.20567923602</v>
      </c>
      <c r="P6" s="20" t="n">
        <v>0.04231208327626238</v>
      </c>
    </row>
    <row r="7">
      <c r="B7" s="21" t="inlineStr">
        <is>
          <t xml:space="preserve">  Individual</t>
        </is>
      </c>
      <c r="C7" s="13" t="n">
        <v>26534.21220144</v>
      </c>
      <c r="D7" s="13" t="n">
        <v>26673.15521144</v>
      </c>
      <c r="E7" s="13" t="n">
        <v>28271.31011322137</v>
      </c>
      <c r="F7" s="13" t="n">
        <v>28417.81490711451</v>
      </c>
      <c r="G7" s="13" t="n">
        <v>28564.31970100763</v>
      </c>
      <c r="H7" s="13" t="n">
        <v>28710.82449490076</v>
      </c>
      <c r="I7" s="13" t="n">
        <v>28857.32928879389</v>
      </c>
      <c r="J7" s="13" t="n">
        <v>29003.83408268703</v>
      </c>
      <c r="K7" s="13" t="n">
        <v>29150.33887658016</v>
      </c>
      <c r="L7" s="13" t="n">
        <v>29296.84367047328</v>
      </c>
      <c r="M7" s="13" t="n">
        <v>29443.34846436641</v>
      </c>
      <c r="N7" s="13" t="n">
        <v>29589.85325825954</v>
      </c>
      <c r="O7" s="13" t="n">
        <v>342513.1842702846</v>
      </c>
      <c r="P7" s="20" t="n">
        <v>0.1815295176202115</v>
      </c>
    </row>
    <row r="8">
      <c r="B8" s="21" t="inlineStr">
        <is>
          <t xml:space="preserve">  Consultório</t>
        </is>
      </c>
      <c r="C8" s="13" t="n">
        <v>20685.69154941435</v>
      </c>
      <c r="D8" s="13" t="n">
        <v>20839.13598735328</v>
      </c>
      <c r="E8" s="13" t="n">
        <v>22095.47364152672</v>
      </c>
      <c r="F8" s="13" t="n">
        <v>22256.97963389313</v>
      </c>
      <c r="G8" s="13" t="n">
        <v>22418.48562625954</v>
      </c>
      <c r="H8" s="13" t="n">
        <v>22579.99161862595</v>
      </c>
      <c r="I8" s="13" t="n">
        <v>22741.49761099237</v>
      </c>
      <c r="J8" s="13" t="n">
        <v>22903.00360335877</v>
      </c>
      <c r="K8" s="13" t="n">
        <v>23064.50959572519</v>
      </c>
      <c r="L8" s="13" t="n">
        <v>23226.0155880916</v>
      </c>
      <c r="M8" s="13" t="n">
        <v>23387.52158045801</v>
      </c>
      <c r="N8" s="13" t="n">
        <v>23549.02757282443</v>
      </c>
      <c r="O8" s="13" t="n">
        <v>269747.3336085234</v>
      </c>
      <c r="P8" s="20" t="n">
        <v>0.1429641415223669</v>
      </c>
    </row>
    <row r="9">
      <c r="B9" s="21" t="inlineStr">
        <is>
          <t xml:space="preserve">  Domiciliar</t>
        </is>
      </c>
      <c r="C9" s="13" t="n">
        <v>7472.596434367023</v>
      </c>
      <c r="D9" s="13" t="n">
        <v>7592.974013145648</v>
      </c>
      <c r="E9" s="13" t="n">
        <v>8070.815340458015</v>
      </c>
      <c r="F9" s="13" t="n">
        <v>8196.771638167938</v>
      </c>
      <c r="G9" s="13" t="n">
        <v>8322.727935877863</v>
      </c>
      <c r="H9" s="13" t="n">
        <v>8448.684233587786</v>
      </c>
      <c r="I9" s="13" t="n">
        <v>8574.640531297711</v>
      </c>
      <c r="J9" s="13" t="n">
        <v>8700.596829007634</v>
      </c>
      <c r="K9" s="13" t="n">
        <v>8826.553126717557</v>
      </c>
      <c r="L9" s="13" t="n">
        <v>8952.509424427479</v>
      </c>
      <c r="M9" s="13" t="n">
        <v>9078.465722137404</v>
      </c>
      <c r="N9" s="13" t="n">
        <v>9204.42201984733</v>
      </c>
      <c r="O9" s="13" t="n">
        <v>101441.7572490394</v>
      </c>
      <c r="P9" s="20" t="n">
        <v>0.05376339979203047</v>
      </c>
    </row>
    <row r="10">
      <c r="B10" s="21" t="inlineStr">
        <is>
          <t xml:space="preserve">  Ginásio</t>
        </is>
      </c>
      <c r="C10" s="13" t="n">
        <v>56453.01727460152</v>
      </c>
      <c r="D10" s="13" t="n">
        <v>56759.98472650992</v>
      </c>
      <c r="E10" s="13" t="n">
        <v>59991.01767572519</v>
      </c>
      <c r="F10" s="13" t="n">
        <v>60313.71389709924</v>
      </c>
      <c r="G10" s="13" t="n">
        <v>60636.41011847328</v>
      </c>
      <c r="H10" s="13" t="n">
        <v>60959.10633984733</v>
      </c>
      <c r="I10" s="13" t="n">
        <v>61281.80256122137</v>
      </c>
      <c r="J10" s="13" t="n">
        <v>61604.49878259542</v>
      </c>
      <c r="K10" s="13" t="n">
        <v>61927.19500396946</v>
      </c>
      <c r="L10" s="13" t="n">
        <v>62249.89122534351</v>
      </c>
      <c r="M10" s="13" t="n">
        <v>62572.58744671757</v>
      </c>
      <c r="N10" s="13" t="n">
        <v>62895.2836680916</v>
      </c>
      <c r="O10" s="13" t="n">
        <v>727644.5087201954</v>
      </c>
      <c r="P10" s="20" t="n">
        <v>0.3856463421937609</v>
      </c>
    </row>
    <row r="11">
      <c r="B11" s="21" t="inlineStr">
        <is>
          <t xml:space="preserve">  Personalizado</t>
        </is>
      </c>
      <c r="C11" s="13" t="n">
        <v>28571.72265538932</v>
      </c>
      <c r="D11" s="13" t="n">
        <v>28693.25089203053</v>
      </c>
      <c r="E11" s="13" t="n">
        <v>30262.75797935878</v>
      </c>
      <c r="F11" s="13" t="n">
        <v>30390.39316256488</v>
      </c>
      <c r="G11" s="13" t="n">
        <v>30518.02834577099</v>
      </c>
      <c r="H11" s="13" t="n">
        <v>30645.6635289771</v>
      </c>
      <c r="I11" s="13" t="n">
        <v>30773.29871218321</v>
      </c>
      <c r="J11" s="13" t="n">
        <v>30900.93389538932</v>
      </c>
      <c r="K11" s="13" t="n">
        <v>31028.56907859542</v>
      </c>
      <c r="L11" s="13" t="n">
        <v>31156.20426180152</v>
      </c>
      <c r="M11" s="13" t="n">
        <v>31283.83944500763</v>
      </c>
      <c r="N11" s="13" t="n">
        <v>31411.47462821373</v>
      </c>
      <c r="O11" s="13" t="n">
        <v>365636.1365852825</v>
      </c>
      <c r="P11" s="20" t="n">
        <v>0.1937845155953679</v>
      </c>
    </row>
    <row r="13">
      <c r="B13" s="22" t="inlineStr">
        <is>
          <t>(-) DEDUÇÕES</t>
        </is>
      </c>
      <c r="C13" s="13" t="n">
        <v>-27548.25833344659</v>
      </c>
      <c r="D13" s="13" t="n">
        <v>-29133.72695944364</v>
      </c>
      <c r="E13" s="13" t="n">
        <v>-32102.88894218981</v>
      </c>
      <c r="F13" s="13" t="n">
        <v>-33196.98119102152</v>
      </c>
      <c r="G13" s="13" t="n">
        <v>-34020.84390263863</v>
      </c>
      <c r="H13" s="13" t="n">
        <v>-34841.79030795244</v>
      </c>
      <c r="I13" s="13" t="n">
        <v>-35489.48661920261</v>
      </c>
      <c r="J13" s="13" t="n">
        <v>-36035.87827470622</v>
      </c>
      <c r="K13" s="13" t="n">
        <v>-36513.80471724943</v>
      </c>
      <c r="L13" s="13" t="n">
        <v>-36944.33402931596</v>
      </c>
      <c r="M13" s="13" t="n">
        <v>-37336.6187789664</v>
      </c>
      <c r="N13" s="13" t="n">
        <v>-37897.82198832126</v>
      </c>
      <c r="O13" s="13" t="n">
        <v>-411062.4340444545</v>
      </c>
    </row>
    <row r="14">
      <c r="B14" s="23">
        <f> RECEITA LÍQUIDA</f>
        <v/>
      </c>
      <c r="C14" s="24" t="n">
        <v>118333.3890403989</v>
      </c>
      <c r="D14" s="24" t="n">
        <v>117638.3413612721</v>
      </c>
      <c r="E14" s="24" t="n">
        <v>123104.0565746102</v>
      </c>
      <c r="F14" s="24" t="n">
        <v>122945.4077757785</v>
      </c>
      <c r="G14" s="24" t="n">
        <v>123056.9885141614</v>
      </c>
      <c r="H14" s="24" t="n">
        <v>123171.4855588475</v>
      </c>
      <c r="I14" s="24" t="n">
        <v>123459.2326975974</v>
      </c>
      <c r="J14" s="24" t="n">
        <v>123848.2844920938</v>
      </c>
      <c r="K14" s="24" t="n">
        <v>124305.8014995506</v>
      </c>
      <c r="L14" s="24" t="n">
        <v>124810.715637484</v>
      </c>
      <c r="M14" s="24" t="n">
        <v>125353.8743378336</v>
      </c>
      <c r="N14" s="24" t="n">
        <v>125728.1145784787</v>
      </c>
      <c r="O14" s="14" t="n">
        <v>1475755.692068107</v>
      </c>
    </row>
    <row r="16">
      <c r="B16" s="22" t="inlineStr">
        <is>
          <t>(-) CUSTOS VARIÁVEIS</t>
        </is>
      </c>
      <c r="C16" s="13" t="n">
        <v>-5835.265894953821</v>
      </c>
      <c r="D16" s="13" t="n">
        <v>-5870.882732828629</v>
      </c>
      <c r="E16" s="13" t="n">
        <v>-6208.277820672</v>
      </c>
      <c r="F16" s="13" t="n">
        <v>-6245.695558672001</v>
      </c>
      <c r="G16" s="13" t="n">
        <v>-6283.113296672</v>
      </c>
      <c r="H16" s="13" t="n">
        <v>-6320.531034672</v>
      </c>
      <c r="I16" s="13" t="n">
        <v>-6357.948772672001</v>
      </c>
      <c r="J16" s="13" t="n">
        <v>-6395.366510672</v>
      </c>
      <c r="K16" s="13" t="n">
        <v>-6432.784248672</v>
      </c>
      <c r="L16" s="13" t="n">
        <v>-6470.201986671999</v>
      </c>
      <c r="M16" s="13" t="n">
        <v>-6507.619724672</v>
      </c>
      <c r="N16" s="13" t="n">
        <v>-6545.037462672</v>
      </c>
      <c r="O16" s="13" t="n">
        <v>-75472.72504450245</v>
      </c>
    </row>
    <row r="17">
      <c r="B17" s="19">
        <f> MARGEM DE CONTRIBUIÇÃO</f>
        <v/>
      </c>
      <c r="C17" s="25" t="n">
        <v>112498.1231454451</v>
      </c>
      <c r="D17" s="25" t="n">
        <v>111767.4586284434</v>
      </c>
      <c r="E17" s="25" t="n">
        <v>116895.7787539382</v>
      </c>
      <c r="F17" s="25" t="n">
        <v>116699.7122171065</v>
      </c>
      <c r="G17" s="25" t="n">
        <v>116773.8752174894</v>
      </c>
      <c r="H17" s="25" t="n">
        <v>116850.9545241756</v>
      </c>
      <c r="I17" s="25" t="n">
        <v>117101.2839249254</v>
      </c>
      <c r="J17" s="25" t="n">
        <v>117452.9179814218</v>
      </c>
      <c r="K17" s="25" t="n">
        <v>117873.0172508786</v>
      </c>
      <c r="L17" s="25" t="n">
        <v>118340.513650812</v>
      </c>
      <c r="M17" s="25" t="n">
        <v>118846.2546131616</v>
      </c>
      <c r="N17" s="25" t="n">
        <v>119183.0771158067</v>
      </c>
      <c r="O17" s="14" t="n">
        <v>1400282.967023604</v>
      </c>
    </row>
    <row r="18">
      <c r="B18" t="inlineStr">
        <is>
          <t xml:space="preserve">  % Margem Contribuição</t>
        </is>
      </c>
      <c r="C18" s="15" t="n">
        <v>0.9506879170598109</v>
      </c>
      <c r="D18" s="15" t="n">
        <v>0.950093798799841</v>
      </c>
      <c r="E18" s="15" t="n">
        <v>0.949568860739294</v>
      </c>
      <c r="F18" s="15" t="n">
        <v>0.949199440046898</v>
      </c>
      <c r="G18" s="15" t="n">
        <v>0.9489414345943551</v>
      </c>
      <c r="H18" s="15" t="n">
        <v>0.9486851116068399</v>
      </c>
      <c r="I18" s="15" t="n">
        <v>0.9485016338288346</v>
      </c>
      <c r="J18" s="15" t="n">
        <v>0.9483612830254402</v>
      </c>
      <c r="K18" s="15" t="n">
        <v>0.9482503296622462</v>
      </c>
      <c r="L18" s="15" t="n">
        <v>0.9481598839200245</v>
      </c>
      <c r="M18" s="15" t="n">
        <v>0.9480860104320852</v>
      </c>
      <c r="N18" s="15" t="n">
        <v>0.9479429284005796</v>
      </c>
      <c r="O18" s="15" t="n">
        <v>0.9488582524531983</v>
      </c>
    </row>
    <row r="20">
      <c r="B20" s="22" t="inlineStr">
        <is>
          <t>(-) CUSTOS FIXOS</t>
        </is>
      </c>
      <c r="C20" s="13" t="n">
        <v>-81250.22414088418</v>
      </c>
      <c r="D20" s="13" t="n">
        <v>-81558.980492338</v>
      </c>
      <c r="E20" s="13" t="n">
        <v>-84479.57050027202</v>
      </c>
      <c r="F20" s="13" t="n">
        <v>-84814.90007964328</v>
      </c>
      <c r="G20" s="13" t="n">
        <v>-85961.41338076198</v>
      </c>
      <c r="H20" s="13" t="n">
        <v>-86711.5180606767</v>
      </c>
      <c r="I20" s="13" t="n">
        <v>-87100.5479713823</v>
      </c>
      <c r="J20" s="13" t="n">
        <v>-87435.67382723979</v>
      </c>
      <c r="K20" s="13" t="n">
        <v>-87774.07149414987</v>
      </c>
      <c r="L20" s="13" t="n">
        <v>-88113.99009428697</v>
      </c>
      <c r="M20" s="13" t="n">
        <v>-88449.77884669619</v>
      </c>
      <c r="N20" s="13" t="n">
        <v>-88785.62745867616</v>
      </c>
      <c r="O20" s="13" t="n">
        <v>-1032436.296347008</v>
      </c>
    </row>
    <row r="22">
      <c r="B22" s="26">
        <f> EBITDA</f>
        <v/>
      </c>
      <c r="C22" s="27" t="n">
        <v>31247.89900456092</v>
      </c>
      <c r="D22" s="27" t="n">
        <v>30208.47813610543</v>
      </c>
      <c r="E22" s="27" t="n">
        <v>32416.20825366619</v>
      </c>
      <c r="F22" s="27" t="n">
        <v>31884.8121374632</v>
      </c>
      <c r="G22" s="27" t="n">
        <v>30812.46183672738</v>
      </c>
      <c r="H22" s="27" t="n">
        <v>30139.43646349886</v>
      </c>
      <c r="I22" s="27" t="n">
        <v>30000.7359535431</v>
      </c>
      <c r="J22" s="27" t="n">
        <v>30017.24415418199</v>
      </c>
      <c r="K22" s="27" t="n">
        <v>30098.94575672869</v>
      </c>
      <c r="L22" s="27" t="n">
        <v>30226.52355652506</v>
      </c>
      <c r="M22" s="27" t="n">
        <v>30396.47576646542</v>
      </c>
      <c r="N22" s="27" t="n">
        <v>30397.44965713058</v>
      </c>
      <c r="O22" s="28" t="n">
        <v>367846.6706765968</v>
      </c>
    </row>
    <row r="23">
      <c r="B23" s="12" t="inlineStr">
        <is>
          <t xml:space="preserve">  % Margem EBITDA</t>
        </is>
      </c>
      <c r="C23" s="15" t="n">
        <v>0.2640666278381744</v>
      </c>
      <c r="D23" s="15" t="n">
        <v>0.2567910919734407</v>
      </c>
      <c r="E23" s="15" t="n">
        <v>0.2633236398186404</v>
      </c>
      <c r="F23" s="15" t="n">
        <v>0.2593412207441947</v>
      </c>
      <c r="G23" s="15" t="n">
        <v>0.2503918079644984</v>
      </c>
      <c r="H23" s="15" t="n">
        <v>0.2446949172265943</v>
      </c>
      <c r="I23" s="15" t="n">
        <v>0.2430011534821967</v>
      </c>
      <c r="J23" s="15" t="n">
        <v>0.2423710936108948</v>
      </c>
      <c r="K23" s="15" t="n">
        <v>0.242136291256185</v>
      </c>
      <c r="L23" s="15" t="n">
        <v>0.2421789139028638</v>
      </c>
      <c r="M23" s="15" t="n">
        <v>0.2424853314429335</v>
      </c>
      <c r="N23" s="15" t="n">
        <v>0.241771299593908</v>
      </c>
      <c r="O23" s="16" t="n">
        <v>0.2492598691326074</v>
      </c>
    </row>
  </sheetData>
  <mergeCells count="1">
    <mergeCell ref="B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2" ht="28" customHeight="1">
      <c r="B2" s="4" t="inlineStr">
        <is>
          <t>🏆 RENTABILIDADE POR SERVIÇO - CUSTEIO ABC</t>
        </is>
      </c>
    </row>
    <row r="4">
      <c r="B4" s="11" t="inlineStr">
        <is>
          <t>Serviço</t>
        </is>
      </c>
      <c r="C4" s="11" t="inlineStr">
        <is>
          <t>Sessões</t>
        </is>
      </c>
      <c r="D4" s="11" t="inlineStr">
        <is>
          <t>Receita</t>
        </is>
      </c>
      <c r="E4" s="11" t="inlineStr">
        <is>
          <t>CV</t>
        </is>
      </c>
      <c r="F4" s="11" t="inlineStr">
        <is>
          <t>Overhead</t>
        </is>
      </c>
      <c r="G4" s="11" t="inlineStr">
        <is>
          <t>Lucro ABC</t>
        </is>
      </c>
      <c r="H4" s="11" t="inlineStr">
        <is>
          <t>Margem</t>
        </is>
      </c>
      <c r="I4" s="11" t="inlineStr">
        <is>
          <t>Lucro/Hora</t>
        </is>
      </c>
      <c r="J4" s="11" t="inlineStr">
        <is>
          <t>Ranking</t>
        </is>
      </c>
    </row>
    <row r="5">
      <c r="B5" s="29" t="inlineStr">
        <is>
          <t>Domiciliar</t>
        </is>
      </c>
      <c r="C5" s="30" t="n">
        <v>371.417994870229</v>
      </c>
      <c r="D5" s="13" t="n">
        <v>101441.7572490394</v>
      </c>
      <c r="E5" s="13" t="n">
        <v>68730.59630499805</v>
      </c>
      <c r="F5" s="13" t="n">
        <v>8107.236140059151</v>
      </c>
      <c r="G5" s="13" t="n">
        <v>24603.92480398218</v>
      </c>
      <c r="H5" s="31" t="n">
        <v>0.2425423757553763</v>
      </c>
      <c r="I5" s="32" t="n">
        <v>0</v>
      </c>
      <c r="J5" s="33" t="inlineStr">
        <is>
          <t>🥇</t>
        </is>
      </c>
    </row>
    <row r="6">
      <c r="B6" s="29" t="inlineStr">
        <is>
          <t>Osteopatia</t>
        </is>
      </c>
      <c r="C6" s="30" t="n">
        <v>239.8057838180153</v>
      </c>
      <c r="D6" s="13" t="n">
        <v>79835.20567923602</v>
      </c>
      <c r="E6" s="13" t="n">
        <v>54067.13643320551</v>
      </c>
      <c r="F6" s="13" t="n">
        <v>7158.123678320188</v>
      </c>
      <c r="G6" s="13" t="n">
        <v>18609.94556771034</v>
      </c>
      <c r="H6" s="31" t="n">
        <v>0.2331044983147142</v>
      </c>
      <c r="I6" s="32" t="n">
        <v>77.60423986200901</v>
      </c>
      <c r="J6" s="33" t="inlineStr">
        <is>
          <t>🥈</t>
        </is>
      </c>
    </row>
    <row r="7">
      <c r="B7" s="29" t="inlineStr">
        <is>
          <t>Consultório</t>
        </is>
      </c>
      <c r="C7" s="30" t="n">
        <v>1157.144405862595</v>
      </c>
      <c r="D7" s="13" t="n">
        <v>269747.3336085234</v>
      </c>
      <c r="E7" s="13" t="n">
        <v>182687.4065578817</v>
      </c>
      <c r="F7" s="13" t="n">
        <v>26698.6252539452</v>
      </c>
      <c r="G7" s="13" t="n">
        <v>60361.30179669644</v>
      </c>
      <c r="H7" s="31" t="n">
        <v>0.2237697811104116</v>
      </c>
      <c r="I7" s="32" t="n">
        <v>62.59682178737233</v>
      </c>
      <c r="J7" s="33" t="inlineStr">
        <is>
          <t>🥉</t>
        </is>
      </c>
    </row>
    <row r="8">
      <c r="B8" s="29" t="inlineStr">
        <is>
          <t>Personalizado</t>
        </is>
      </c>
      <c r="C8" s="30" t="n">
        <v>1763.223796396946</v>
      </c>
      <c r="D8" s="13" t="n">
        <v>365636.1365852825</v>
      </c>
      <c r="E8" s="13" t="n">
        <v>247582.7361347817</v>
      </c>
      <c r="F8" s="13" t="n">
        <v>37610.59823359348</v>
      </c>
      <c r="G8" s="13" t="n">
        <v>80442.80221690725</v>
      </c>
      <c r="H8" s="31" t="n">
        <v>0.2200078005641667</v>
      </c>
      <c r="I8" s="32" t="n">
        <v>54.7470847759345</v>
      </c>
      <c r="J8" s="33" t="inlineStr">
        <is>
          <t>4º</t>
        </is>
      </c>
    </row>
    <row r="9">
      <c r="B9" s="29" t="inlineStr">
        <is>
          <t>Individual</t>
        </is>
      </c>
      <c r="C9" s="30" t="n">
        <v>1799.004805740458</v>
      </c>
      <c r="D9" s="13" t="n">
        <v>342513.1842702846</v>
      </c>
      <c r="E9" s="13" t="n">
        <v>231942.8570663766</v>
      </c>
      <c r="F9" s="13" t="n">
        <v>36295.8337078997</v>
      </c>
      <c r="G9" s="13" t="n">
        <v>74274.49349600825</v>
      </c>
      <c r="H9" s="31" t="n">
        <v>0.216851487496016</v>
      </c>
      <c r="I9" s="32" t="n">
        <v>27.52428945122148</v>
      </c>
      <c r="J9" s="33" t="inlineStr">
        <is>
          <t>5º</t>
        </is>
      </c>
    </row>
    <row r="10">
      <c r="B10" s="29" t="inlineStr">
        <is>
          <t>Ginásio</t>
        </is>
      </c>
      <c r="C10" s="30" t="n">
        <v>4857.25465832061</v>
      </c>
      <c r="D10" s="13" t="n">
        <v>727644.5087201954</v>
      </c>
      <c r="E10" s="13" t="n">
        <v>492743.7329387207</v>
      </c>
      <c r="F10" s="13" t="n">
        <v>178997.2889861823</v>
      </c>
      <c r="G10" s="13" t="n">
        <v>55903.48679529243</v>
      </c>
      <c r="H10" s="34" t="n">
        <v>0.07682801989891641</v>
      </c>
      <c r="I10" s="32" t="n">
        <v>13.81113177573135</v>
      </c>
      <c r="J10" s="33" t="inlineStr">
        <is>
          <t>6º</t>
        </is>
      </c>
    </row>
    <row r="11">
      <c r="B11" s="35" t="inlineStr">
        <is>
          <t>TOTAL</t>
        </is>
      </c>
      <c r="C11" s="35" t="n"/>
      <c r="D11" s="35" t="n">
        <v>1886818.126112561</v>
      </c>
      <c r="E11" s="35" t="n"/>
      <c r="F11" s="35" t="n"/>
      <c r="G11" s="35" t="n">
        <v>314195.9546765969</v>
      </c>
      <c r="H11" s="36" t="n">
        <v>0.1665215901460197</v>
      </c>
      <c r="I11" s="35" t="n"/>
      <c r="J11" s="35" t="n"/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0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2" ht="28" customHeight="1">
      <c r="B2" s="4" t="inlineStr">
        <is>
          <t>⚖️ ANÁLISE DE PONTO DE EQUILÍBRIO</t>
        </is>
      </c>
    </row>
    <row r="4">
      <c r="B4" s="11" t="inlineStr">
        <is>
          <t>Indicador</t>
        </is>
      </c>
      <c r="C4" s="11" t="inlineStr">
        <is>
          <t>Jan</t>
        </is>
      </c>
      <c r="D4" s="11" t="inlineStr">
        <is>
          <t>Fev</t>
        </is>
      </c>
      <c r="E4" s="11" t="inlineStr">
        <is>
          <t>Mar</t>
        </is>
      </c>
      <c r="F4" s="11" t="inlineStr">
        <is>
          <t>Abr</t>
        </is>
      </c>
      <c r="G4" s="11" t="inlineStr">
        <is>
          <t>Mai</t>
        </is>
      </c>
      <c r="H4" s="11" t="inlineStr">
        <is>
          <t>Jun</t>
        </is>
      </c>
      <c r="I4" s="11" t="inlineStr">
        <is>
          <t>Jul</t>
        </is>
      </c>
      <c r="J4" s="11" t="inlineStr">
        <is>
          <t>Ago</t>
        </is>
      </c>
      <c r="K4" s="11" t="inlineStr">
        <is>
          <t>Set</t>
        </is>
      </c>
      <c r="L4" s="11" t="inlineStr">
        <is>
          <t>Out</t>
        </is>
      </c>
      <c r="M4" s="11" t="inlineStr">
        <is>
          <t>Nov</t>
        </is>
      </c>
      <c r="N4" s="11" t="inlineStr">
        <is>
          <t>Dez</t>
        </is>
      </c>
      <c r="O4" s="11" t="inlineStr">
        <is>
          <t>MÉDIA</t>
        </is>
      </c>
    </row>
    <row r="5">
      <c r="B5" s="12" t="inlineStr">
        <is>
          <t>Receita Líquida</t>
        </is>
      </c>
      <c r="C5" s="13" t="n">
        <v>118333.3890403989</v>
      </c>
      <c r="D5" s="13" t="n">
        <v>117638.3413612721</v>
      </c>
      <c r="E5" s="13" t="n">
        <v>123104.0565746102</v>
      </c>
      <c r="F5" s="13" t="n">
        <v>122945.4077757785</v>
      </c>
      <c r="G5" s="13" t="n">
        <v>123056.9885141614</v>
      </c>
      <c r="H5" s="13" t="n">
        <v>123171.4855588475</v>
      </c>
      <c r="I5" s="13" t="n">
        <v>123459.2326975974</v>
      </c>
      <c r="J5" s="13" t="n">
        <v>123848.2844920938</v>
      </c>
      <c r="K5" s="13" t="n">
        <v>124305.8014995506</v>
      </c>
      <c r="L5" s="13" t="n">
        <v>124810.715637484</v>
      </c>
      <c r="M5" s="13" t="n">
        <v>125353.8743378336</v>
      </c>
      <c r="N5" s="13" t="n">
        <v>125728.1145784787</v>
      </c>
      <c r="O5" s="14" t="n">
        <v>122979.6410056756</v>
      </c>
    </row>
    <row r="6">
      <c r="B6" s="22" t="inlineStr">
        <is>
          <t>PE Contábil</t>
        </is>
      </c>
      <c r="C6" s="13" t="n">
        <v>85464.66477891762</v>
      </c>
      <c r="D6" s="13" t="n">
        <v>85843.08264653799</v>
      </c>
      <c r="E6" s="13" t="n">
        <v>88966.23930411936</v>
      </c>
      <c r="F6" s="13" t="n">
        <v>89354.14044855816</v>
      </c>
      <c r="G6" s="13" t="n">
        <v>90586.63711687116</v>
      </c>
      <c r="H6" s="13" t="n">
        <v>91401.79075205329</v>
      </c>
      <c r="I6" s="13" t="n">
        <v>91829.62355033787</v>
      </c>
      <c r="J6" s="13" t="n">
        <v>92196.58730510859</v>
      </c>
      <c r="K6" s="13" t="n">
        <v>92564.24042100128</v>
      </c>
      <c r="L6" s="13" t="n">
        <v>92931.57366033345</v>
      </c>
      <c r="M6" s="13" t="n">
        <v>93292.9901648751</v>
      </c>
      <c r="N6" s="13" t="n">
        <v>93661.36377901996</v>
      </c>
      <c r="O6" s="14" t="n">
        <v>90674.41116064449</v>
      </c>
    </row>
    <row r="7">
      <c r="B7" s="37" t="inlineStr">
        <is>
          <t>Margem Segurança (R$)</t>
        </is>
      </c>
      <c r="C7" s="38" t="n">
        <v>32868.7242614813</v>
      </c>
      <c r="D7" s="38" t="n">
        <v>31795.25871473407</v>
      </c>
      <c r="E7" s="38" t="n">
        <v>34137.81727049085</v>
      </c>
      <c r="F7" s="38" t="n">
        <v>33591.26732722032</v>
      </c>
      <c r="G7" s="38" t="n">
        <v>32470.3513972902</v>
      </c>
      <c r="H7" s="38" t="n">
        <v>31769.69480679426</v>
      </c>
      <c r="I7" s="38" t="n">
        <v>31629.60914725953</v>
      </c>
      <c r="J7" s="38" t="n">
        <v>31651.69718698518</v>
      </c>
      <c r="K7" s="38" t="n">
        <v>31741.56107854929</v>
      </c>
      <c r="L7" s="38" t="n">
        <v>31879.14197715058</v>
      </c>
      <c r="M7" s="38" t="n">
        <v>32060.88417295851</v>
      </c>
      <c r="N7" s="38" t="n">
        <v>32066.75079945878</v>
      </c>
      <c r="O7" s="14" t="n">
        <v>32305.22984503107</v>
      </c>
    </row>
    <row r="8">
      <c r="B8" t="inlineStr">
        <is>
          <t>Margem Segurança (%)</t>
        </is>
      </c>
      <c r="C8" s="15" t="n">
        <v>0.2777637362372842</v>
      </c>
      <c r="D8" s="15" t="n">
        <v>0.2702797263784054</v>
      </c>
      <c r="E8" s="15" t="n">
        <v>0.2773086299540486</v>
      </c>
      <c r="F8" s="15" t="n">
        <v>0.2732210005637816</v>
      </c>
      <c r="G8" s="15" t="n">
        <v>0.2638643427679325</v>
      </c>
      <c r="H8" s="15" t="n">
        <v>0.2579305970261735</v>
      </c>
      <c r="I8" s="15" t="n">
        <v>0.2561947653176615</v>
      </c>
      <c r="J8" s="15" t="n">
        <v>0.2555683134149974</v>
      </c>
      <c r="K8" s="15" t="n">
        <v>0.2553506006609358</v>
      </c>
      <c r="L8" s="15" t="n">
        <v>0.2554199117786038</v>
      </c>
      <c r="M8" s="15" t="n">
        <v>0.2557630096581871</v>
      </c>
      <c r="N8" s="15" t="n">
        <v>0.255048370899119</v>
      </c>
      <c r="O8" s="16" t="n">
        <v>0.2628094170547609</v>
      </c>
    </row>
    <row r="9">
      <c r="B9" t="inlineStr">
        <is>
          <t>GAO (Alavancagem)</t>
        </is>
      </c>
      <c r="C9" s="39" t="n">
        <v>3.600181987564186</v>
      </c>
      <c r="D9" s="39" t="n">
        <v>3.699870550408761</v>
      </c>
      <c r="E9" s="39" t="n">
        <v>3.60609044213916</v>
      </c>
      <c r="F9" s="39" t="n">
        <v>3.660040765301849</v>
      </c>
      <c r="G9" s="39" t="n">
        <v>3.789826202017359</v>
      </c>
      <c r="H9" s="39" t="n">
        <v>3.877011923089236</v>
      </c>
      <c r="I9" s="39" t="n">
        <v>3.903280376396756</v>
      </c>
      <c r="J9" s="39" t="n">
        <v>3.912848140826356</v>
      </c>
      <c r="K9" s="39" t="n">
        <v>3.916184247899373</v>
      </c>
      <c r="L9" s="39" t="n">
        <v>3.915121546462647</v>
      </c>
      <c r="M9" s="39" t="n">
        <v>3.909869536397948</v>
      </c>
      <c r="N9" s="39" t="n">
        <v>3.920824886960508</v>
      </c>
      <c r="O9" s="40" t="n">
        <v>3.809262550455345</v>
      </c>
    </row>
    <row r="10">
      <c r="B10" t="inlineStr">
        <is>
          <t>PE em Sessões</t>
        </is>
      </c>
      <c r="C10" s="30" t="n">
        <v>594.0678301350503</v>
      </c>
      <c r="D10" s="30" t="n">
        <v>603.7327699782912</v>
      </c>
      <c r="E10" s="30" t="n">
        <v>601.3926652093721</v>
      </c>
      <c r="F10" s="30" t="n">
        <v>608.2891170305737</v>
      </c>
      <c r="G10" s="30" t="n">
        <v>619.6602153563784</v>
      </c>
      <c r="H10" s="30" t="n">
        <v>628.2235214552632</v>
      </c>
      <c r="I10" s="30" t="n">
        <v>633.2698250021519</v>
      </c>
      <c r="J10" s="30" t="n">
        <v>637.3829711037143</v>
      </c>
      <c r="K10" s="30" t="n">
        <v>641.1502138196248</v>
      </c>
      <c r="L10" s="30" t="n">
        <v>644.6710398798056</v>
      </c>
      <c r="M10" s="30" t="n">
        <v>647.9528331868673</v>
      </c>
      <c r="N10" s="30" t="n">
        <v>652.1573072409881</v>
      </c>
      <c r="O10" s="41" t="n">
        <v>625.9958591165067</v>
      </c>
    </row>
  </sheetData>
  <mergeCells count="1"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1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2" ht="28" customHeight="1">
      <c r="B2" s="4" t="inlineStr">
        <is>
          <t>📊 ANÁLISE DE TAXA DE OCUPAÇÃO</t>
        </is>
      </c>
    </row>
    <row r="4">
      <c r="B4" s="11" t="inlineStr">
        <is>
          <t>Indicador</t>
        </is>
      </c>
      <c r="C4" s="11" t="inlineStr">
        <is>
          <t>Jan</t>
        </is>
      </c>
      <c r="D4" s="11" t="inlineStr">
        <is>
          <t>Fev</t>
        </is>
      </c>
      <c r="E4" s="11" t="inlineStr">
        <is>
          <t>Mar</t>
        </is>
      </c>
      <c r="F4" s="11" t="inlineStr">
        <is>
          <t>Abr</t>
        </is>
      </c>
      <c r="G4" s="11" t="inlineStr">
        <is>
          <t>Mai</t>
        </is>
      </c>
      <c r="H4" s="11" t="inlineStr">
        <is>
          <t>Jun</t>
        </is>
      </c>
      <c r="I4" s="11" t="inlineStr">
        <is>
          <t>Jul</t>
        </is>
      </c>
      <c r="J4" s="11" t="inlineStr">
        <is>
          <t>Ago</t>
        </is>
      </c>
      <c r="K4" s="11" t="inlineStr">
        <is>
          <t>Set</t>
        </is>
      </c>
      <c r="L4" s="11" t="inlineStr">
        <is>
          <t>Out</t>
        </is>
      </c>
      <c r="M4" s="11" t="inlineStr">
        <is>
          <t>Nov</t>
        </is>
      </c>
      <c r="N4" s="11" t="inlineStr">
        <is>
          <t>Dez</t>
        </is>
      </c>
      <c r="O4" s="11" t="inlineStr">
        <is>
          <t>MÉDIA</t>
        </is>
      </c>
    </row>
    <row r="5">
      <c r="B5" s="12" t="inlineStr">
        <is>
          <t>Capacidade Prof. (h)</t>
        </is>
      </c>
      <c r="C5" s="30" t="n">
        <v>1132</v>
      </c>
      <c r="D5" s="30" t="n">
        <v>1132</v>
      </c>
      <c r="E5" s="30" t="n">
        <v>1132</v>
      </c>
      <c r="F5" s="30" t="n">
        <v>1132</v>
      </c>
      <c r="G5" s="30" t="n">
        <v>1132</v>
      </c>
      <c r="H5" s="30" t="n">
        <v>1132</v>
      </c>
      <c r="I5" s="30" t="n">
        <v>1132</v>
      </c>
      <c r="J5" s="30" t="n">
        <v>1132</v>
      </c>
      <c r="K5" s="30" t="n">
        <v>1132</v>
      </c>
      <c r="L5" s="30" t="n">
        <v>1132</v>
      </c>
      <c r="M5" s="30" t="n">
        <v>1132</v>
      </c>
      <c r="N5" s="30" t="n">
        <v>1132</v>
      </c>
      <c r="O5" s="41" t="n">
        <v>1132</v>
      </c>
    </row>
    <row r="6">
      <c r="B6" s="12" t="inlineStr">
        <is>
          <t>Capacidade Sala (h)</t>
        </is>
      </c>
      <c r="C6" s="30" t="n">
        <v>800</v>
      </c>
      <c r="D6" s="30" t="n">
        <v>800</v>
      </c>
      <c r="E6" s="30" t="n">
        <v>800</v>
      </c>
      <c r="F6" s="30" t="n">
        <v>800</v>
      </c>
      <c r="G6" s="30" t="n">
        <v>800</v>
      </c>
      <c r="H6" s="30" t="n">
        <v>800</v>
      </c>
      <c r="I6" s="30" t="n">
        <v>800</v>
      </c>
      <c r="J6" s="30" t="n">
        <v>800</v>
      </c>
      <c r="K6" s="30" t="n">
        <v>800</v>
      </c>
      <c r="L6" s="30" t="n">
        <v>800</v>
      </c>
      <c r="M6" s="30" t="n">
        <v>800</v>
      </c>
      <c r="N6" s="30" t="n">
        <v>800</v>
      </c>
      <c r="O6" s="41" t="n">
        <v>800</v>
      </c>
    </row>
    <row r="7">
      <c r="B7" s="12" t="inlineStr">
        <is>
          <t>Demanda Prof. (h)</t>
        </is>
      </c>
      <c r="C7" s="30" t="n">
        <v>785.7871181349619</v>
      </c>
      <c r="D7" s="30" t="n">
        <v>790.3285568372519</v>
      </c>
      <c r="E7" s="30" t="n">
        <v>794.8699955395421</v>
      </c>
      <c r="F7" s="30" t="n">
        <v>799.4114342418321</v>
      </c>
      <c r="G7" s="30" t="n">
        <v>803.9528729441221</v>
      </c>
      <c r="H7" s="30" t="n">
        <v>808.4943116464124</v>
      </c>
      <c r="I7" s="30" t="n">
        <v>813.0357503487023</v>
      </c>
      <c r="J7" s="30" t="n">
        <v>817.5771890509924</v>
      </c>
      <c r="K7" s="30" t="n">
        <v>822.1186277532825</v>
      </c>
      <c r="L7" s="30" t="n">
        <v>826.6600664555725</v>
      </c>
      <c r="M7" s="30" t="n">
        <v>831.2015051578627</v>
      </c>
      <c r="N7" s="30" t="n">
        <v>835.7429438601528</v>
      </c>
      <c r="O7" s="41" t="n">
        <v>810.7650309975573</v>
      </c>
    </row>
    <row r="8">
      <c r="B8" s="12" t="inlineStr">
        <is>
          <t>Demanda Sala (h)</t>
        </is>
      </c>
      <c r="C8" s="30" t="n">
        <v>762.0934734530281</v>
      </c>
      <c r="D8" s="30" t="n">
        <v>766.253226404682</v>
      </c>
      <c r="E8" s="30" t="n">
        <v>770.412979356336</v>
      </c>
      <c r="F8" s="30" t="n">
        <v>774.5727323079899</v>
      </c>
      <c r="G8" s="30" t="n">
        <v>778.7324852596437</v>
      </c>
      <c r="H8" s="30" t="n">
        <v>782.8922382112978</v>
      </c>
      <c r="I8" s="30" t="n">
        <v>787.0519911629517</v>
      </c>
      <c r="J8" s="30" t="n">
        <v>791.2117441146056</v>
      </c>
      <c r="K8" s="30" t="n">
        <v>795.3714970662595</v>
      </c>
      <c r="L8" s="30" t="n">
        <v>799.5312500179135</v>
      </c>
      <c r="M8" s="30" t="n">
        <v>803.6910029695675</v>
      </c>
      <c r="N8" s="30" t="n">
        <v>807.8507559212214</v>
      </c>
      <c r="O8" s="41" t="n">
        <v>784.9721146871248</v>
      </c>
    </row>
    <row r="9">
      <c r="B9" s="12" t="inlineStr">
        <is>
          <t>Taxa Ocup. Prof.</t>
        </is>
      </c>
      <c r="C9" s="42" t="n">
        <v>0.6941582315679876</v>
      </c>
      <c r="D9" s="42" t="n">
        <v>0.69817010321312</v>
      </c>
      <c r="E9" s="43" t="n">
        <v>0.7021819748582527</v>
      </c>
      <c r="F9" s="43" t="n">
        <v>0.7061938465033852</v>
      </c>
      <c r="G9" s="43" t="n">
        <v>0.7102057181485177</v>
      </c>
      <c r="H9" s="43" t="n">
        <v>0.7142175897936505</v>
      </c>
      <c r="I9" s="43" t="n">
        <v>0.718229461438783</v>
      </c>
      <c r="J9" s="43" t="n">
        <v>0.7222413330839156</v>
      </c>
      <c r="K9" s="43" t="n">
        <v>0.7262532047290481</v>
      </c>
      <c r="L9" s="43" t="n">
        <v>0.7302650763741807</v>
      </c>
      <c r="M9" s="43" t="n">
        <v>0.7342769480193133</v>
      </c>
      <c r="N9" s="43" t="n">
        <v>0.7382888196644459</v>
      </c>
      <c r="O9" s="20" t="n">
        <v>0.7162235256162167</v>
      </c>
    </row>
    <row r="10">
      <c r="B10" s="12" t="inlineStr">
        <is>
          <t>Taxa Ocup. Sala</t>
        </is>
      </c>
      <c r="C10" s="44" t="n">
        <v>0.9526168418162851</v>
      </c>
      <c r="D10" s="44" t="n">
        <v>0.9578165330058525</v>
      </c>
      <c r="E10" s="44" t="n">
        <v>0.96301622419542</v>
      </c>
      <c r="F10" s="44" t="n">
        <v>0.9682159153849874</v>
      </c>
      <c r="G10" s="44" t="n">
        <v>0.9734156065745546</v>
      </c>
      <c r="H10" s="44" t="n">
        <v>0.9786152977641223</v>
      </c>
      <c r="I10" s="44" t="n">
        <v>0.9838149889536897</v>
      </c>
      <c r="J10" s="44" t="n">
        <v>0.989014680143257</v>
      </c>
      <c r="K10" s="44" t="n">
        <v>0.9942143713328244</v>
      </c>
      <c r="L10" s="44" t="n">
        <v>0.999414062522392</v>
      </c>
      <c r="M10" s="44" t="n">
        <v>1</v>
      </c>
      <c r="N10" s="44" t="n">
        <v>1</v>
      </c>
      <c r="O10" s="20" t="n">
        <v>0.9800128768077822</v>
      </c>
    </row>
    <row r="11">
      <c r="B11" s="12" t="inlineStr">
        <is>
          <t>Gargalo</t>
        </is>
      </c>
      <c r="C11" s="6" t="inlineStr">
        <is>
          <t>Sala</t>
        </is>
      </c>
      <c r="D11" s="6" t="inlineStr">
        <is>
          <t>Sala</t>
        </is>
      </c>
      <c r="E11" s="6" t="inlineStr">
        <is>
          <t>Sala</t>
        </is>
      </c>
      <c r="F11" s="6" t="inlineStr">
        <is>
          <t>Sala</t>
        </is>
      </c>
      <c r="G11" s="6" t="inlineStr">
        <is>
          <t>Sala</t>
        </is>
      </c>
      <c r="H11" s="6" t="inlineStr">
        <is>
          <t>Sala</t>
        </is>
      </c>
      <c r="I11" s="6" t="inlineStr">
        <is>
          <t>Sala</t>
        </is>
      </c>
      <c r="J11" s="6" t="inlineStr">
        <is>
          <t>Sala</t>
        </is>
      </c>
      <c r="K11" s="6" t="inlineStr">
        <is>
          <t>Sala</t>
        </is>
      </c>
      <c r="L11" s="6" t="inlineStr">
        <is>
          <t>Sala</t>
        </is>
      </c>
      <c r="M11" s="6" t="inlineStr">
        <is>
          <t>Sala</t>
        </is>
      </c>
      <c r="N11" s="6" t="inlineStr">
        <is>
          <t>Sala</t>
        </is>
      </c>
    </row>
    <row r="14">
      <c r="B14" s="45" t="inlineStr">
        <is>
          <t>💡 GARGALO PREDOMINANTE: Sala - Considerar expansão de salas</t>
        </is>
      </c>
    </row>
  </sheetData>
  <mergeCells count="2">
    <mergeCell ref="B14:O14"/>
    <mergeCell ref="B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0" customWidth="1" min="3" max="3"/>
    <col width="20" customWidth="1" min="4" max="4"/>
  </cols>
  <sheetData>
    <row r="2" ht="28" customHeight="1">
      <c r="B2" s="4" t="inlineStr">
        <is>
          <t>⚙️ PREMISSAS DO BUDGET</t>
        </is>
      </c>
    </row>
    <row r="4">
      <c r="B4" s="11" t="inlineStr">
        <is>
          <t>Categoria</t>
        </is>
      </c>
      <c r="C4" s="11" t="inlineStr">
        <is>
          <t>Parâmetro</t>
        </is>
      </c>
      <c r="D4" s="11" t="inlineStr">
        <is>
          <t>Valor</t>
        </is>
      </c>
    </row>
    <row r="5">
      <c r="B5" s="19" t="inlineStr">
        <is>
          <t>Operacional</t>
        </is>
      </c>
    </row>
    <row r="6">
      <c r="B6" s="6" t="inlineStr"/>
      <c r="C6" s="6" t="inlineStr">
        <is>
          <t>Horas de funcionamento/dia</t>
        </is>
      </c>
      <c r="D6" s="6" t="inlineStr">
        <is>
          <t>10h</t>
        </is>
      </c>
    </row>
    <row r="7">
      <c r="B7" s="6" t="inlineStr"/>
      <c r="C7" s="6" t="inlineStr">
        <is>
          <t>Dias úteis/mês</t>
        </is>
      </c>
      <c r="D7" s="6" t="inlineStr">
        <is>
          <t>20</t>
        </is>
      </c>
    </row>
    <row r="8">
      <c r="B8" s="6" t="inlineStr"/>
      <c r="C8" s="6" t="inlineStr">
        <is>
          <t>Número de salas</t>
        </is>
      </c>
      <c r="D8" s="6" t="inlineStr">
        <is>
          <t>4</t>
        </is>
      </c>
    </row>
    <row r="9">
      <c r="B9" s="6" t="inlineStr"/>
      <c r="C9" s="6" t="inlineStr">
        <is>
          <t>Número de fisioterapeutas</t>
        </is>
      </c>
      <c r="D9" s="6" t="inlineStr">
        <is>
          <t>13</t>
        </is>
      </c>
    </row>
    <row r="11">
      <c r="B11" s="19" t="inlineStr">
        <is>
          <t>Tributário</t>
        </is>
      </c>
    </row>
    <row r="12">
      <c r="B12" s="6" t="inlineStr"/>
      <c r="C12" s="6" t="inlineStr">
        <is>
          <t>Regime tributário</t>
        </is>
      </c>
      <c r="D12" s="6" t="inlineStr">
        <is>
          <t>PJ - Simples Nacional</t>
        </is>
      </c>
    </row>
    <row r="13">
      <c r="B13" s="6" t="inlineStr"/>
      <c r="C13" s="6" t="inlineStr">
        <is>
          <t>Taxa cartão</t>
        </is>
      </c>
      <c r="D13" s="6" t="inlineStr">
        <is>
          <t>3,36%</t>
        </is>
      </c>
    </row>
    <row r="15">
      <c r="B15" s="19" t="inlineStr">
        <is>
          <t>Serviços</t>
        </is>
      </c>
    </row>
    <row r="16">
      <c r="B16" s="6" t="inlineStr"/>
      <c r="C16" s="6" t="inlineStr">
        <is>
          <t>Osteopatia - Valor 2026</t>
        </is>
      </c>
      <c r="D16" s="6" t="inlineStr">
        <is>
          <t>R$ 335.00</t>
        </is>
      </c>
    </row>
    <row r="17">
      <c r="B17" s="6" t="inlineStr"/>
      <c r="C17" s="6" t="inlineStr">
        <is>
          <t>Osteopatia - Duração</t>
        </is>
      </c>
      <c r="D17" s="6" t="inlineStr">
        <is>
          <t>60 min</t>
        </is>
      </c>
    </row>
    <row r="18">
      <c r="B18" s="6" t="inlineStr"/>
      <c r="C18" s="6" t="inlineStr">
        <is>
          <t>Individual - Valor 2026</t>
        </is>
      </c>
      <c r="D18" s="6" t="inlineStr">
        <is>
          <t>R$ 192.00</t>
        </is>
      </c>
    </row>
    <row r="19">
      <c r="B19" s="6" t="inlineStr"/>
      <c r="C19" s="6" t="inlineStr">
        <is>
          <t>Individual - Duração</t>
        </is>
      </c>
      <c r="D19" s="6" t="inlineStr">
        <is>
          <t>90 min</t>
        </is>
      </c>
    </row>
    <row r="20">
      <c r="B20" s="6" t="inlineStr"/>
      <c r="C20" s="6" t="inlineStr">
        <is>
          <t>Consultório - Valor 2026</t>
        </is>
      </c>
      <c r="D20" s="6" t="inlineStr">
        <is>
          <t>R$ 235.00</t>
        </is>
      </c>
    </row>
    <row r="21">
      <c r="B21" s="6" t="inlineStr"/>
      <c r="C21" s="6" t="inlineStr">
        <is>
          <t>Consultório - Duração</t>
        </is>
      </c>
      <c r="D21" s="6" t="inlineStr">
        <is>
          <t>50 min</t>
        </is>
      </c>
    </row>
    <row r="22">
      <c r="B22" s="6" t="inlineStr"/>
      <c r="C22" s="6" t="inlineStr">
        <is>
          <t>Domiciliar - Valor 2026</t>
        </is>
      </c>
      <c r="D22" s="6" t="inlineStr">
        <is>
          <t>R$ 275.00</t>
        </is>
      </c>
    </row>
    <row r="23">
      <c r="B23" s="6" t="inlineStr"/>
      <c r="C23" s="6" t="inlineStr">
        <is>
          <t>Domiciliar - Duração</t>
        </is>
      </c>
      <c r="D23" s="6" t="inlineStr">
        <is>
          <t>50 min</t>
        </is>
      </c>
    </row>
    <row r="24">
      <c r="B24" s="6" t="inlineStr"/>
      <c r="C24" s="6" t="inlineStr">
        <is>
          <t>Ginásio - Valor 2026</t>
        </is>
      </c>
      <c r="D24" s="6" t="inlineStr">
        <is>
          <t>R$ 151.00</t>
        </is>
      </c>
    </row>
    <row r="25">
      <c r="B25" s="6" t="inlineStr"/>
      <c r="C25" s="6" t="inlineStr">
        <is>
          <t>Ginásio - Duração</t>
        </is>
      </c>
      <c r="D25" s="6" t="inlineStr">
        <is>
          <t>50 min</t>
        </is>
      </c>
    </row>
    <row r="26">
      <c r="B26" s="6" t="inlineStr"/>
      <c r="C26" s="6" t="inlineStr">
        <is>
          <t>Personalizado - Valor 2026</t>
        </is>
      </c>
      <c r="D26" s="6" t="inlineStr">
        <is>
          <t>R$ 209.00</t>
        </is>
      </c>
    </row>
    <row r="27">
      <c r="B27" s="6" t="inlineStr"/>
      <c r="C27" s="6" t="inlineStr">
        <is>
          <t>Personalizado - Duração</t>
        </is>
      </c>
      <c r="D27" s="6" t="inlineStr">
        <is>
          <t>50 min</t>
        </is>
      </c>
    </row>
  </sheetData>
  <mergeCells count="4">
    <mergeCell ref="B15:D15"/>
    <mergeCell ref="B11:D11"/>
    <mergeCell ref="B5:D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2025-12-22T04:26:38Z</dcterms:created>
  <dcterms:modified xmlns:dcterms="http://purl.org/dc/terms/" xmlns:xsi="http://www.w3.org/2001/XMLSchema-instance" xsi:type="dcterms:W3CDTF">2025-12-22T04:26:39Z</dcterms:modified>
</cp:coreProperties>
</file>